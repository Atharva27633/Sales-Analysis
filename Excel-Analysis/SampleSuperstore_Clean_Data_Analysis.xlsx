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288275e20ff64/Desktop/Sales analysis/"/>
    </mc:Choice>
  </mc:AlternateContent>
  <xr:revisionPtr revIDLastSave="64" documentId="8_{0A1AEB7E-76F5-4F24-AC9A-81C222C6476A}" xr6:coauthVersionLast="47" xr6:coauthVersionMax="47" xr10:uidLastSave="{FC8BDFCC-0FFA-4861-B2A2-C651097F8564}"/>
  <bookViews>
    <workbookView xWindow="-108" yWindow="-108" windowWidth="23256" windowHeight="12456" activeTab="2" xr2:uid="{5ED18C48-DE7C-4FD9-9EE5-8E8886874D6D}"/>
  </bookViews>
  <sheets>
    <sheet name="SampleSuperstore_cleaned" sheetId="1" r:id="rId1"/>
    <sheet name="Detailed Analysis" sheetId="2" r:id="rId2"/>
    <sheet name="Pivot Tables" sheetId="4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<sst xmlns="http://schemas.openxmlformats.org/spreadsheetml/2006/main" count="79875" uniqueCount="638">
  <si>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</si>
  <si>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</si>
  <si>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</si>
  <si>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</si>
  <si>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</si>
  <si>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</si>
  <si>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</si>
  <si>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</si>
  <si>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</si>
  <si>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</si>
  <si>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</si>
  <si>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</si>
  <si>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</si>
  <si>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</si>
  <si>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</si>
  <si>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</si>
  <si>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</si>
  <si>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</si>
  <si>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</si>
  <si>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</si>
  <si>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</si>
  <si>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</si>
  <si>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</si>
  <si>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</si>
  <si>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</si>
  <si>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</si>
  <si>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</si>
  <si>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</si>
  <si>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</si>
  <si>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</si>
  <si>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</si>
  <si>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</si>
  <si>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</si>
  <si>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</si>
  <si>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</si>
  <si>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</si>
  <si>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</si>
  <si>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</si>
  <si>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</si>
  <si>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</si>
  <si>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</si>
  <si>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</si>
  <si>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</si>
  <si>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</si>
  <si>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</si>
  <si>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</si>
  <si>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</si>
  <si>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</si>
  <si>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</si>
  <si>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</si>
  <si>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</si>
  <si>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</si>
  <si>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</si>
  <si>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</si>
  <si>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</si>
  <si>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</si>
  <si>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</si>
  <si>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</si>
  <si>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</si>
  <si>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</si>
  <si>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</si>
  <si>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</si>
  <si>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</si>
  <si>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</si>
  <si>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</si>
  <si>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</si>
  <si>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</si>
  <si>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</si>
  <si>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</si>
  <si>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</si>
  <si>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</si>
  <si>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</si>
  <si>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</si>
  <si>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</si>
  <si>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</si>
  <si>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</si>
  <si>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</si>
  <si>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</si>
  <si>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</si>
  <si>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</si>
  <si>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</si>
  <si>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</si>
  <si>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</si>
  <si>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</si>
  <si>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</si>
  <si>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</si>
  <si>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</si>
  <si>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</si>
  <si>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</si>
  <si>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</si>
  <si>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</si>
  <si>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</si>
  <si>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</si>
  <si>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</si>
  <si>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</si>
  <si>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</si>
  <si>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</si>
  <si>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</si>
  <si>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</si>
  <si>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</si>
  <si>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</si>
  <si>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</si>
  <si>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</si>
  <si>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</si>
  <si>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</si>
  <si>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</si>
  <si>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</si>
  <si>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</si>
  <si>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</si>
  <si>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</si>
  <si>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</si>
  <si>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</si>
  <si>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</si>
  <si>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</si>
  <si>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</si>
  <si>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</si>
  <si>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</si>
  <si>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</si>
  <si>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</si>
  <si>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</si>
  <si>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</si>
  <si>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</si>
  <si>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</si>
  <si>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</si>
  <si>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</si>
  <si>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</si>
  <si>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</si>
  <si>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</si>
  <si>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</si>
  <si>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</si>
  <si>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</si>
  <si>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</si>
  <si>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</si>
  <si>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</si>
  <si>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</si>
  <si>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</si>
  <si>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</si>
  <si>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</si>
  <si>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</si>
  <si>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</si>
  <si>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</si>
  <si>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</si>
  <si>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</si>
  <si>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</si>
  <si>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</si>
  <si>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</si>
  <si>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</si>
  <si>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</si>
  <si>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</si>
  <si>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</si>
  <si>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</si>
  <si>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</si>
  <si>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</si>
  <si>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</si>
  <si>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</si>
  <si>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</si>
  <si>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</si>
  <si>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</si>
  <si>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</si>
  <si>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</si>
  <si>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</si>
  <si>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</si>
  <si>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</si>
  <si>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</si>
  <si>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</si>
  <si>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</si>
  <si>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</si>
  <si>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</si>
  <si>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</si>
  <si>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</si>
  <si>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</si>
  <si>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</si>
  <si>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</si>
  <si>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</si>
  <si>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</si>
  <si>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</si>
  <si>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</si>
  <si>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</si>
  <si>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</si>
  <si>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</si>
  <si>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</si>
  <si>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</si>
  <si>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</si>
  <si>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</si>
  <si>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</si>
  <si>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</si>
  <si>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</si>
  <si>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</si>
  <si>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</si>
  <si>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</si>
  <si>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</si>
  <si>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</si>
  <si>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</si>
  <si>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</si>
  <si>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</si>
  <si>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</si>
  <si>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</si>
  <si>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</si>
  <si>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</si>
  <si>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</si>
  <si>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</si>
  <si>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</si>
  <si>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</si>
  <si>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</si>
  <si>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</si>
  <si>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</si>
  <si>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</si>
  <si>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</si>
  <si>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</si>
  <si>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</si>
  <si>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</si>
  <si>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</si>
  <si>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</si>
  <si>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</si>
  <si>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</si>
  <si>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</si>
  <si>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</si>
  <si>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</si>
  <si>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</si>
  <si>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</si>
  <si>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</si>
  <si>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</si>
  <si>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</si>
  <si>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</si>
  <si>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</si>
  <si>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</si>
  <si>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</si>
  <si>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</si>
  <si>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</si>
  <si>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</si>
  <si>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</si>
  <si>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</si>
  <si>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</si>
  <si>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</si>
  <si>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</si>
  <si>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</si>
  <si>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</si>
  <si>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</si>
  <si>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</si>
  <si>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</si>
  <si>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</si>
  <si>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</si>
  <si>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</si>
  <si>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</si>
  <si>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</si>
  <si>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</si>
  <si>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</si>
  <si>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</si>
  <si>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</si>
  <si>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</si>
  <si>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</si>
  <si>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</si>
  <si>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</si>
  <si>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</si>
  <si>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</si>
  <si>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</si>
  <si>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</si>
  <si>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</si>
  <si>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</si>
  <si>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</si>
  <si>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</si>
  <si>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</si>
  <si>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</si>
  <si>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</si>
  <si>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</si>
  <si>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</si>
  <si>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</si>
  <si>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</si>
  <si>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</si>
  <si>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</si>
  <si>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</si>
  <si>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</si>
  <si>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</si>
  <si>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</si>
  <si>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</si>
  <si>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</si>
  <si>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</si>
  <si>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</si>
  <si>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</si>
  <si>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</si>
  <si>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</si>
  <si>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</si>
  <si>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</si>
  <si>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</si>
  <si>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</si>
  <si>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</si>
  <si>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</si>
  <si>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</si>
  <si>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</si>
  <si>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</si>
  <si>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</si>
  <si>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</si>
  <si>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</si>
  <si>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</si>
  <si>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</si>
  <si>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</si>
  <si>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</si>
  <si>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</si>
  <si>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</si>
  <si>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</si>
  <si>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</si>
  <si>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</si>
  <si>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</si>
  <si>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</si>
  <si>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</si>
  <si>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</si>
  <si>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</si>
  <si>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</si>
  <si>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</si>
  <si>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</si>
  <si>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</si>
  <si>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</si>
  <si>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</si>
  <si>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</si>
  <si>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</si>
  <si>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</si>
  <si>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</si>
  <si>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</si>
  <si>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</si>
  <si>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</si>
  <si>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</si>
  <si>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</si>
  <si>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</si>
  <si>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</si>
  <si>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</si>
  <si>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</si>
  <si>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</si>
  <si>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</si>
  <si>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</si>
  <si>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</si>
  <si>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</si>
  <si>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</si>
  <si>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</si>
  <si>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</si>
  <si>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</si>
  <si>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</si>
  <si>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</si>
  <si>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</si>
  <si>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</si>
  <si>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</si>
  <si>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</si>
  <si>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</si>
  <si>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</si>
  <si>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</si>
  <si>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</si>
  <si>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</si>
  <si>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</si>
  <si>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</si>
  <si>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</si>
  <si>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</si>
  <si>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</si>
  <si>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</si>
  <si>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</si>
  <si>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</si>
  <si>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</si>
  <si>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</si>
  <si>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</si>
  <si>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</si>
  <si>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</si>
  <si>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</si>
  <si>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</si>
  <si>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</si>
  <si>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</si>
  <si>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</si>
  <si>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</si>
  <si>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</si>
  <si>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</si>
  <si>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</si>
  <si>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</si>
  <si>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</si>
  <si>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</si>
  <si>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</si>
  <si>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</si>
  <si>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</si>
  <si>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</si>
  <si>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</si>
  <si>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</si>
  <si>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</si>
  <si>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</si>
  <si>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</si>
  <si>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</si>
  <si>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</si>
  <si>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</si>
  <si>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</si>
  <si>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</si>
  <si>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</si>
  <si>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</si>
  <si>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</si>
  <si>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</si>
  <si>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</si>
  <si>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</si>
  <si>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</si>
  <si>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</si>
  <si>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</si>
  <si>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</si>
  <si>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</si>
  <si>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</si>
  <si>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</si>
  <si>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</si>
  <si>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</si>
  <si>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</si>
  <si>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</si>
  <si>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</si>
  <si>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</si>
  <si>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</si>
  <si>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</si>
  <si>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</si>
  <si>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</si>
  <si>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</si>
  <si>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</si>
  <si>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</si>
  <si>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</si>
  <si>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</si>
  <si>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</si>
  <si>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</si>
  <si>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</si>
  <si>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</si>
  <si>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</si>
  <si>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</si>
  <si>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</si>
  <si>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</si>
  <si>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</si>
  <si>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</si>
  <si>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</si>
  <si>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</si>
  <si>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</si>
  <si>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</si>
  <si>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</si>
  <si>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</si>
  <si>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</si>
  <si>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</si>
  <si>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</si>
  <si>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</si>
  <si>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</si>
  <si>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</si>
  <si>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</si>
  <si>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</si>
  <si>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</si>
  <si>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</si>
  <si>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</si>
  <si>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</si>
  <si>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</si>
  <si>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</si>
  <si>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</si>
  <si>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</si>
  <si>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</si>
  <si>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</si>
  <si>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</si>
  <si>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</si>
  <si>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</si>
  <si>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</si>
  <si>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</si>
  <si>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</si>
  <si>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</si>
  <si>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</si>
  <si>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</si>
  <si>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</si>
  <si>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</si>
  <si>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</si>
  <si>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</si>
  <si>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</si>
  <si>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</si>
  <si>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</si>
  <si>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</si>
  <si>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</si>
  <si>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</si>
  <si>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</si>
  <si>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</si>
  <si>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</si>
  <si>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</si>
  <si>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</si>
  <si>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</si>
  <si>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</si>
  <si>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</si>
  <si>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</si>
  <si>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</si>
  <si>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</si>
  <si>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</si>
  <si>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</si>
  <si>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</si>
  <si>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</si>
  <si>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</si>
  <si>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</si>
  <si>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</si>
  <si>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</si>
  <si>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</si>
  <si>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</si>
  <si>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</si>
  <si>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</si>
  <si>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</si>
  <si>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</si>
  <si>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</si>
  <si>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</si>
  <si>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</si>
  <si>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</si>
  <si>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</si>
  <si>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</si>
  <si>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</si>
  <si>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</si>
  <si>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</si>
  <si>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</si>
  <si>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</si>
  <si>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</si>
  <si>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</si>
  <si>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</si>
  <si>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</si>
  <si>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</si>
  <si>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</si>
  <si>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</si>
  <si>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</si>
  <si>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</si>
  <si>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</si>
  <si>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</si>
  <si>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</si>
  <si>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</si>
  <si>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</si>
  <si>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</si>
  <si>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</si>
  <si>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</si>
  <si>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</si>
  <si>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</si>
  <si>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</si>
  <si>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</si>
  <si>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</si>
  <si>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</si>
  <si>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</si>
  <si>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</si>
  <si>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</si>
  <si>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</si>
  <si>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</si>
  <si>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</si>
  <si>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</si>
  <si>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</si>
  <si>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</si>
  <si>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</si>
  <si>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</si>
  <si>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</si>
  <si>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</si>
  <si>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</si>
  <si>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</si>
  <si>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</si>
  <si>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</si>
  <si>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</si>
  <si>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</si>
  <si>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</si>
  <si>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</si>
  <si>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</si>
  <si>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</si>
  <si>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</si>
  <si>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</si>
  <si>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</si>
  <si>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</si>
  <si>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</si>
  <si>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</si>
  <si>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</si>
  <si>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</si>
  <si>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</si>
  <si>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</si>
  <si>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</si>
  <si>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</si>
  <si>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</si>
  <si>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</si>
  <si>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</si>
  <si>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</si>
  <si>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</si>
  <si>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</si>
  <si>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</si>
  <si>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</si>
  <si>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</si>
  <si>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</si>
  <si>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</si>
  <si>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</si>
  <si>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</si>
  <si>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</si>
  <si>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</si>
  <si>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</si>
  <si>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</si>
  <si>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</si>
  <si>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</si>
  <si>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</si>
  <si>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</si>
  <si>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</si>
  <si>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</si>
  <si>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</si>
  <si>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</si>
  <si>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</si>
  <si>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</si>
  <si>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</si>
  <si>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</si>
  <si>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</si>
  <si>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</si>
  <si>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</si>
  <si>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</si>
  <si>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</si>
  <si>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</si>
  <si>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</si>
  <si>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</si>
  <si>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</si>
  <si>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</si>
  <si>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</si>
  <si>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</si>
  <si>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</si>
  <si>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</si>
  <si>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</si>
  <si>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</si>
  <si>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</si>
  <si>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</si>
  <si>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</si>
  <si>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</si>
  <si>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</si>
  <si>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</si>
  <si>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</si>
  <si>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</si>
  <si>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</si>
  <si>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</si>
  <si>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</si>
  <si>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</si>
  <si>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</si>
  <si>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</si>
  <si>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</si>
  <si>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</si>
  <si>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</si>
  <si>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</si>
  <si>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</si>
  <si>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KPI</t>
  </si>
  <si>
    <t>Value</t>
  </si>
  <si>
    <t>Result</t>
  </si>
  <si>
    <t>Business Metric</t>
  </si>
  <si>
    <t>Total Sales</t>
  </si>
  <si>
    <t>Total Profit</t>
  </si>
  <si>
    <t>Average Sales per record</t>
  </si>
  <si>
    <t>Loss-Making Records</t>
  </si>
  <si>
    <t>Overall Profit Margin</t>
  </si>
  <si>
    <t>Total Records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</si>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</sst>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&quot;₹&quot;\ #,##0.0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[SampleSuperstore_cleaned.xlsx]Pivot Tables!PivotTable3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708223972003495E-2"/>
          <c:y val="0.16564596092155148"/>
          <c:w val="0.6247935258092738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Tables'!$I$4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Tables'!$H$5:$H$22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Tables'!$I$5:$I$22</c:f>
              <c:numCache>
                <c:formatCode>"₹"\ #,##0.00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27107.031999999956</c:v>
                </c:pt>
                <c:pt idx="3">
                  <c:v>203409.16900000008</c:v>
                </c:pt>
                <c:pt idx="4">
                  <c:v>114879.99629999997</c:v>
                </c:pt>
                <c:pt idx="5">
                  <c:v>327777.76100000076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91683.024000000049</c:v>
                </c:pt>
                <c:pt idx="10">
                  <c:v>12444.912</c:v>
                </c:pt>
                <c:pt idx="11">
                  <c:v>189238.63099999996</c:v>
                </c:pt>
                <c:pt idx="12">
                  <c:v>78224.142000000022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3-4B79-9BE9-1F07C97734A7}"/>
            </c:ext>
          </c:extLst>
        </c:ser>
        <c:ser>
          <c:idx val="1"/>
          <c:order val="1"/>
          <c:tx>
            <c:strRef>
              <c:f>'Pivot Tables'!$J$4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Tables'!$H$5:$H$22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Tables'!$J$5:$J$22</c:f>
              <c:numCache>
                <c:formatCode>"₹"\ #,##0.00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6524.6117999999988</c:v>
                </c:pt>
                <c:pt idx="3">
                  <c:v>30228.000299999996</c:v>
                </c:pt>
                <c:pt idx="4">
                  <c:v>-3472.5559999999978</c:v>
                </c:pt>
                <c:pt idx="5">
                  <c:v>26567.127800000024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13052.722999999984</c:v>
                </c:pt>
                <c:pt idx="10">
                  <c:v>5526.3819999999978</c:v>
                </c:pt>
                <c:pt idx="11">
                  <c:v>3384.7568999999999</c:v>
                </c:pt>
                <c:pt idx="12">
                  <c:v>33944.239499999967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3-4B79-9BE9-1F07C9773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3797391"/>
        <c:axId val="1863797871"/>
      </c:barChart>
      <c:catAx>
        <c:axId val="186379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97871"/>
        <c:crosses val="autoZero"/>
        <c:auto val="1"/>
        <c:lblAlgn val="ctr"/>
        <c:lblOffset val="100"/>
        <c:noMultiLvlLbl val="0"/>
      </c:catAx>
      <c:valAx>
        <c:axId val="18637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9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0</xdr:row>
      <xdr:rowOff>0</xdr:rowOff>
    </xdr:from>
    <xdr:to>
      <xdr:col>21</xdr:col>
      <xdr:colOff>518160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D5E93-848D-060E-A6D6-4F25E0D84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" refreshedDate="46319.552789699075" createdVersion="8" refreshedVersion="8" minRefreshableVersion="3" recordCount="9977" xr:uid="{42D39411-47CF-4AB9-841E-F0E96E1B2DE4}">
  <cacheSource type="worksheet">
    <worksheetSource ref="A1:M9978" sheet="SampleSuperstore_cleaned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530E8-AC44-4709-8017-27A3A471BC2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4:J22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showAll="0"/>
    <pivotField showAll="0"/>
    <pivotField dataField="1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75762-EF55-4DC9-9500-3DFEA0EC024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0D8C-D683-41CB-9DF5-00BF640EBC6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2A87-DC9B-4531-8C1E-79B3F6E56247}">
  <dimension ref="A1:M9978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C7EC-9F28-4752-BAD9-B24E4706AA9E}">
  <dimension ref="A1:B8"/>
  <sheetViews>
    <sheetView workbookViewId="0">
      <selection activeCell="B8" sqref="B8"/>
    </sheetView>
  </sheetViews>
  <sheetFormatPr defaultRowHeight="14.4" x14ac:dyDescent="0.3"/>
  <cols>
    <col min="1" max="1" width="22" customWidth="1"/>
    <col min="2" max="2" width="12.88671875" bestFit="1" customWidth="1"/>
  </cols>
  <sheetData>
    <row r="1" spans="1:2" x14ac:dyDescent="0.3">
      <c r="A1" t="s">
        <v>624</v>
      </c>
      <c r="B1" t="s">
        <v>625</v>
      </c>
    </row>
    <row r="2" spans="1:2" x14ac:dyDescent="0.3">
      <c r="A2" t="s">
        <v>627</v>
      </c>
      <c r="B2" t="s">
        <v>626</v>
      </c>
    </row>
    <row r="3" spans="1:2" x14ac:dyDescent="0.3">
      <c r="A3" t="s">
        <v>628</v>
      </c>
      <c r="B3" s="1">
        <f>SUM(SampleSuperstore_cleaned!J:J)</f>
        <v>2296195.5902999551</v>
      </c>
    </row>
    <row r="4" spans="1:2" x14ac:dyDescent="0.3">
      <c r="A4" t="s">
        <v>629</v>
      </c>
      <c r="B4" s="1">
        <f>SUM(SampleSuperstore_cleaned!M:M)</f>
        <v>286241.42260000127</v>
      </c>
    </row>
    <row r="5" spans="1:2" x14ac:dyDescent="0.3">
      <c r="A5" t="s">
        <v>630</v>
      </c>
      <c r="B5" s="1">
        <f>AVERAGE(SampleSuperstore_cleaned!J:J)</f>
        <v>230.14890150345346</v>
      </c>
    </row>
    <row r="6" spans="1:2" x14ac:dyDescent="0.3">
      <c r="A6" t="s">
        <v>633</v>
      </c>
      <c r="B6">
        <f>COUNTA(SampleSuperstore_cleaned!A:A)</f>
        <v>9978</v>
      </c>
    </row>
    <row r="7" spans="1:2" x14ac:dyDescent="0.3">
      <c r="A7" t="s">
        <v>631</v>
      </c>
      <c r="B7" s="3">
        <f>COUNTIF(SampleSuperstore_cleaned!M:M, "&lt;0")</f>
        <v>1869</v>
      </c>
    </row>
    <row r="8" spans="1:2" x14ac:dyDescent="0.3">
      <c r="A8" t="s">
        <v>632</v>
      </c>
      <c r="B8" s="2">
        <f>B4/B3</f>
        <v>0.12465898976951226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309F-2267-4C51-9A06-17AF22D7556D}">
  <dimension ref="A3:J22"/>
  <sheetViews>
    <sheetView tabSelected="1" topLeftCell="B1"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2.21875" bestFit="1" customWidth="1"/>
    <col min="8" max="8" width="12.5546875" bestFit="1" customWidth="1"/>
    <col min="9" max="9" width="13.21875" bestFit="1" customWidth="1"/>
    <col min="10" max="10" width="12.21875" bestFit="1" customWidth="1"/>
  </cols>
  <sheetData>
    <row r="3" spans="1:10" x14ac:dyDescent="0.3">
      <c r="A3" s="4" t="s">
        <v>634</v>
      </c>
      <c r="B3" t="s">
        <v>636</v>
      </c>
      <c r="C3" t="s">
        <v>637</v>
      </c>
    </row>
    <row r="4" spans="1:10" x14ac:dyDescent="0.3">
      <c r="A4" s="5" t="s">
        <v>19</v>
      </c>
      <c r="B4" s="1">
        <v>741306.31329999981</v>
      </c>
      <c r="C4" s="1">
        <v>18421.813700000006</v>
      </c>
      <c r="H4" s="4" t="s">
        <v>634</v>
      </c>
      <c r="I4" t="s">
        <v>636</v>
      </c>
      <c r="J4" t="s">
        <v>637</v>
      </c>
    </row>
    <row r="5" spans="1:10" x14ac:dyDescent="0.3">
      <c r="A5" s="5" t="s">
        <v>26</v>
      </c>
      <c r="B5" s="1">
        <v>718735.24400000286</v>
      </c>
      <c r="C5" s="1">
        <v>122364.66080000011</v>
      </c>
      <c r="H5" s="5" t="s">
        <v>59</v>
      </c>
      <c r="I5" s="1">
        <v>167380.31800000009</v>
      </c>
      <c r="J5" s="1">
        <v>41936.635699999933</v>
      </c>
    </row>
    <row r="6" spans="1:10" x14ac:dyDescent="0.3">
      <c r="A6" s="5" t="s">
        <v>35</v>
      </c>
      <c r="B6" s="1">
        <v>836154.03299999656</v>
      </c>
      <c r="C6" s="1">
        <v>145454.94809999989</v>
      </c>
      <c r="H6" s="5" t="s">
        <v>38</v>
      </c>
      <c r="I6" s="1">
        <v>107532.16099999999</v>
      </c>
      <c r="J6" s="1">
        <v>18138.005399999995</v>
      </c>
    </row>
    <row r="7" spans="1:10" x14ac:dyDescent="0.3">
      <c r="A7" s="5" t="s">
        <v>635</v>
      </c>
      <c r="B7" s="1">
        <v>2296195.5902999993</v>
      </c>
      <c r="C7" s="1">
        <v>286241.42260000005</v>
      </c>
      <c r="H7" s="5" t="s">
        <v>34</v>
      </c>
      <c r="I7" s="1">
        <v>27107.031999999956</v>
      </c>
      <c r="J7" s="1">
        <v>6524.6117999999988</v>
      </c>
    </row>
    <row r="8" spans="1:10" x14ac:dyDescent="0.3">
      <c r="H8" s="5" t="s">
        <v>37</v>
      </c>
      <c r="I8" s="1">
        <v>203409.16900000008</v>
      </c>
      <c r="J8" s="1">
        <v>30228.000299999996</v>
      </c>
    </row>
    <row r="9" spans="1:10" x14ac:dyDescent="0.3">
      <c r="H9" s="5" t="s">
        <v>20</v>
      </c>
      <c r="I9" s="1">
        <v>114879.99629999997</v>
      </c>
      <c r="J9" s="1">
        <v>-3472.5559999999978</v>
      </c>
    </row>
    <row r="10" spans="1:10" x14ac:dyDescent="0.3">
      <c r="H10" s="5" t="s">
        <v>21</v>
      </c>
      <c r="I10" s="1">
        <v>327777.76100000076</v>
      </c>
      <c r="J10" s="1">
        <v>26567.127800000024</v>
      </c>
    </row>
    <row r="11" spans="1:10" x14ac:dyDescent="0.3">
      <c r="H11" s="5" t="s">
        <v>162</v>
      </c>
      <c r="I11" s="1">
        <v>149528.02999999994</v>
      </c>
      <c r="J11" s="1">
        <v>55617.824900000007</v>
      </c>
    </row>
    <row r="12" spans="1:10" x14ac:dyDescent="0.3">
      <c r="H12" s="5" t="s">
        <v>60</v>
      </c>
      <c r="I12" s="1">
        <v>16476.401999999998</v>
      </c>
      <c r="J12" s="1">
        <v>6964.1767000000027</v>
      </c>
    </row>
    <row r="13" spans="1:10" x14ac:dyDescent="0.3">
      <c r="A13" s="4" t="s">
        <v>634</v>
      </c>
      <c r="B13" t="s">
        <v>636</v>
      </c>
      <c r="C13" t="s">
        <v>637</v>
      </c>
      <c r="H13" s="5" t="s">
        <v>77</v>
      </c>
      <c r="I13" s="1">
        <v>3024.2799999999997</v>
      </c>
      <c r="J13" s="1">
        <v>949.51819999999975</v>
      </c>
    </row>
    <row r="14" spans="1:10" x14ac:dyDescent="0.3">
      <c r="A14" s="5" t="s">
        <v>47</v>
      </c>
      <c r="B14" s="1">
        <v>500782.85280000052</v>
      </c>
      <c r="C14" s="1">
        <v>39655.875199999988</v>
      </c>
      <c r="H14" s="5" t="s">
        <v>33</v>
      </c>
      <c r="I14" s="1">
        <v>91683.024000000049</v>
      </c>
      <c r="J14" s="1">
        <v>13052.722999999984</v>
      </c>
    </row>
    <row r="15" spans="1:10" x14ac:dyDescent="0.3">
      <c r="A15" s="5" t="s">
        <v>57</v>
      </c>
      <c r="B15" s="1">
        <v>678435.19599999802</v>
      </c>
      <c r="C15" s="1">
        <v>91506.309200000265</v>
      </c>
      <c r="H15" s="5" t="s">
        <v>27</v>
      </c>
      <c r="I15" s="1">
        <v>12444.912</v>
      </c>
      <c r="J15" s="1">
        <v>5526.3819999999978</v>
      </c>
    </row>
    <row r="16" spans="1:10" x14ac:dyDescent="0.3">
      <c r="A16" s="5" t="s">
        <v>18</v>
      </c>
      <c r="B16" s="1">
        <v>391721.90500000032</v>
      </c>
      <c r="C16" s="1">
        <v>46749.430300000065</v>
      </c>
      <c r="H16" s="5" t="s">
        <v>123</v>
      </c>
      <c r="I16" s="1">
        <v>189238.63099999996</v>
      </c>
      <c r="J16" s="1">
        <v>3384.7568999999999</v>
      </c>
    </row>
    <row r="17" spans="1:10" x14ac:dyDescent="0.3">
      <c r="A17" s="5" t="s">
        <v>25</v>
      </c>
      <c r="B17" s="1">
        <v>725255.63650000049</v>
      </c>
      <c r="C17" s="1">
        <v>108329.80790000016</v>
      </c>
      <c r="H17" s="5" t="s">
        <v>41</v>
      </c>
      <c r="I17" s="1">
        <v>78224.142000000022</v>
      </c>
      <c r="J17" s="1">
        <v>33944.239499999967</v>
      </c>
    </row>
    <row r="18" spans="1:10" x14ac:dyDescent="0.3">
      <c r="A18" s="5" t="s">
        <v>635</v>
      </c>
      <c r="B18" s="1">
        <v>2296195.5902999993</v>
      </c>
      <c r="C18" s="1">
        <v>286241.42260000051</v>
      </c>
      <c r="H18" s="5" t="s">
        <v>36</v>
      </c>
      <c r="I18" s="1">
        <v>330007.05400000012</v>
      </c>
      <c r="J18" s="1">
        <v>44515.730600000003</v>
      </c>
    </row>
    <row r="19" spans="1:10" x14ac:dyDescent="0.3">
      <c r="H19" s="5" t="s">
        <v>32</v>
      </c>
      <c r="I19" s="1">
        <v>223843.60800000012</v>
      </c>
      <c r="J19" s="1">
        <v>21278.826399999998</v>
      </c>
    </row>
    <row r="20" spans="1:10" x14ac:dyDescent="0.3">
      <c r="H20" s="5" t="s">
        <v>110</v>
      </c>
      <c r="I20" s="1">
        <v>46673.538000000015</v>
      </c>
      <c r="J20" s="1">
        <v>-1189.0994999999984</v>
      </c>
    </row>
    <row r="21" spans="1:10" x14ac:dyDescent="0.3">
      <c r="H21" s="5" t="s">
        <v>31</v>
      </c>
      <c r="I21" s="1">
        <v>206965.53200000009</v>
      </c>
      <c r="J21" s="1">
        <v>-17725.481100000008</v>
      </c>
    </row>
    <row r="22" spans="1:10" x14ac:dyDescent="0.3">
      <c r="H22" s="5" t="s">
        <v>635</v>
      </c>
      <c r="I22" s="1">
        <v>2296195.5903000007</v>
      </c>
      <c r="J22" s="1">
        <v>286241.42259999987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SampleSuperstore_cleaned</vt:lpstr>
      <vt:lpstr>Detailed Analysis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</dc:creator>
  <cp:lastModifiedBy>Atharva Ranshur MITWPU</cp:lastModifiedBy>
  <dcterms:created xsi:type="dcterms:W3CDTF">2026-10-24T07:31:54Z</dcterms:created>
  <dcterms:modified xsi:type="dcterms:W3CDTF">2026-10-24T07:52:23Z</dcterms:modified>
</cp:coreProperties>
</file>